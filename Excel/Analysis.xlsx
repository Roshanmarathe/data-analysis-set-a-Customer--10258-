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3a4ee5adadcd17/Desktop/CUSTOMER/Excel/"/>
    </mc:Choice>
  </mc:AlternateContent>
  <xr:revisionPtr revIDLastSave="5" documentId="8_{FE1F43CF-D88F-4F4A-A013-0F8A16357868}" xr6:coauthVersionLast="47" xr6:coauthVersionMax="47" xr10:uidLastSave="{C2395189-2C9E-465C-83BC-8AECA99CDFA3}"/>
  <bookViews>
    <workbookView xWindow="-108" yWindow="-108" windowWidth="23256" windowHeight="12456" activeTab="2" xr2:uid="{6DB8E1C8-88BE-4D89-8654-85E57C4909D7}"/>
  </bookViews>
  <sheets>
    <sheet name="raw" sheetId="1" r:id="rId1"/>
    <sheet name="lookup" sheetId="2" r:id="rId2"/>
    <sheet name="clean" sheetId="3" r:id="rId3"/>
    <sheet name="Summary" sheetId="4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3" l="1"/>
  <c r="D17" i="3"/>
  <c r="E17" i="3"/>
  <c r="B2" i="4"/>
  <c r="B3" i="4"/>
  <c r="B4" i="4"/>
  <c r="H3" i="3"/>
  <c r="H4" i="3"/>
  <c r="H5" i="3"/>
  <c r="H6" i="3"/>
  <c r="H7" i="3"/>
  <c r="H8" i="3"/>
  <c r="H9" i="3"/>
  <c r="H10" i="3"/>
  <c r="H11" i="3"/>
  <c r="H12" i="3"/>
  <c r="H13" i="3"/>
  <c r="H2" i="3"/>
  <c r="G3" i="3"/>
  <c r="G4" i="3"/>
  <c r="G5" i="3"/>
  <c r="G6" i="3"/>
  <c r="G7" i="3"/>
  <c r="G8" i="3"/>
  <c r="G9" i="3"/>
  <c r="G10" i="3"/>
  <c r="G11" i="3"/>
  <c r="G12" i="3"/>
  <c r="G13" i="3"/>
</calcChain>
</file>

<file path=xl/sharedStrings.xml><?xml version="1.0" encoding="utf-8"?>
<sst xmlns="http://schemas.openxmlformats.org/spreadsheetml/2006/main" count="122" uniqueCount="37">
  <si>
    <t>ticket_id</t>
  </si>
  <si>
    <t>month</t>
  </si>
  <si>
    <t>team_id</t>
  </si>
  <si>
    <t>channel</t>
  </si>
  <si>
    <t>resolution_hours</t>
  </si>
  <si>
    <t>satisfaction</t>
  </si>
  <si>
    <t>Jan</t>
  </si>
  <si>
    <t>T1</t>
  </si>
  <si>
    <t>Email</t>
  </si>
  <si>
    <t>T2</t>
  </si>
  <si>
    <t>Chat</t>
  </si>
  <si>
    <t>T3</t>
  </si>
  <si>
    <t>Phone</t>
  </si>
  <si>
    <t>T4</t>
  </si>
  <si>
    <t>Feb</t>
  </si>
  <si>
    <t>Mar</t>
  </si>
  <si>
    <t>team</t>
  </si>
  <si>
    <t>department</t>
  </si>
  <si>
    <t>AccountCare</t>
  </si>
  <si>
    <t>Service</t>
  </si>
  <si>
    <t>BillingHelp</t>
  </si>
  <si>
    <t>AppSupport</t>
  </si>
  <si>
    <t>Technical</t>
  </si>
  <si>
    <t>DeviceHelp</t>
  </si>
  <si>
    <t>Before</t>
  </si>
  <si>
    <t>After</t>
  </si>
  <si>
    <t>Deparment</t>
  </si>
  <si>
    <t>brech_flag</t>
  </si>
  <si>
    <t>email</t>
  </si>
  <si>
    <t>chat</t>
  </si>
  <si>
    <t>breched_ticket</t>
  </si>
  <si>
    <t>Row Labels</t>
  </si>
  <si>
    <t>Grand Total</t>
  </si>
  <si>
    <t>Column Labels</t>
  </si>
  <si>
    <t>Average of resolution_hours</t>
  </si>
  <si>
    <t>phonE</t>
  </si>
  <si>
    <t xml:space="preserve">Before And After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</si>
</sst>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2" fontId="0" fillId="0" borderId="0" xfId="0" applyNumberFormat="1"/>
    <xf numFmtId="2" fontId="0" fillId="0" borderId="6" xfId="0" applyNumberForma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39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[analysis.xlsx]Summary!PivotTable1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Resolution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Summary!$E$1:$E$2</c:f>
              <c:strCache>
                <c:ptCount val="1"/>
                <c:pt idx="0">
                  <c:v>Jan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Summary!$D$3:$D$5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Summary!$E$3:$E$5</c:f>
              <c:numCache>
                <c:formatCode>General</c:formatCode>
                <c:ptCount val="2"/>
                <c:pt idx="0">
                  <c:v>20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0-490A-8F7D-CEBDED82CFC2}"/>
            </c:ext>
          </c:extLst>
        </c:ser>
        <c:ser>
          <c:idx val="1"/>
          <c:order val="1"/>
          <c:tx>
            <c:strRef>
              <c:f>Summary!$F$1:$F$2</c:f>
              <c:strCache>
                <c:ptCount val="1"/>
                <c:pt idx="0">
                  <c:v>Feb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Summary!$D$3:$D$5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Summary!$F$3:$F$5</c:f>
              <c:numCache>
                <c:formatCode>General</c:formatCode>
                <c:ptCount val="2"/>
                <c:pt idx="0">
                  <c:v>19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80-490A-8F7D-CEBDED82CFC2}"/>
            </c:ext>
          </c:extLst>
        </c:ser>
        <c:ser>
          <c:idx val="2"/>
          <c:order val="2"/>
          <c:tx>
            <c:strRef>
              <c:f>Summary!$G$1:$G$2</c:f>
              <c:strCache>
                <c:ptCount val="1"/>
                <c:pt idx="0">
                  <c:v>Mar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Summary!$D$3:$D$5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Summary!$G$3:$G$5</c:f>
              <c:numCache>
                <c:formatCode>General</c:formatCode>
                <c:ptCount val="2"/>
                <c:pt idx="0">
                  <c:v>19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80-490A-8F7D-CEBDED82C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51417935"/>
        <c:axId val="1951416495"/>
        <c:axId val="0"/>
      </c:bar3DChart>
      <c:catAx>
        <c:axId val="195141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416495"/>
        <c:crosses val="autoZero"/>
        <c:auto val="1"/>
        <c:lblAlgn val="ctr"/>
        <c:lblOffset val="100"/>
        <c:noMultiLvlLbl val="0"/>
      </c:catAx>
      <c:valAx>
        <c:axId val="195141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41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32333</xdr:colOff>
      <xdr:row>5</xdr:row>
      <xdr:rowOff>139854</xdr:rowOff>
    </xdr:from>
    <xdr:to>
      <xdr:col>7</xdr:col>
      <xdr:colOff>344452</xdr:colOff>
      <xdr:row>24</xdr:row>
      <xdr:rowOff>62918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864927-4047-CC0C-5FFE-06CDC20941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ha" refreshedDate="46290.371046412038" createdVersion="8" refreshedVersion="8" minRefreshableVersion="3" recordCount="12" xr:uid="{40824825-9BDA-4B18-8456-4760B060DFCE}">
  <cacheSource type="worksheet">
    <worksheetSource ref="A1:H13" sheet="clean"/>
  </cacheSource>
  <cacheFields count="8">
    <cacheField name="ticket_id" numFmtId="0">
      <sharedItems containsSemiMixedTypes="0" containsString="0" containsNumber="1" containsInteger="1" minValue="1" maxValue="12"/>
    </cacheField>
    <cacheField name="month" numFmtId="0">
      <sharedItems count="3">
        <s v="Jan"/>
        <s v="Feb"/>
        <s v="Mar"/>
      </sharedItems>
    </cacheField>
    <cacheField name="team_id" numFmtId="0">
      <sharedItems/>
    </cacheField>
    <cacheField name="channel" numFmtId="0">
      <sharedItems/>
    </cacheField>
    <cacheField name="resolution_hours" numFmtId="0">
      <sharedItems containsSemiMixedTypes="0" containsString="0" containsNumber="1" containsInteger="1" minValue="8" maxValue="40"/>
    </cacheField>
    <cacheField name="satisfaction" numFmtId="0">
      <sharedItems containsSemiMixedTypes="0" containsString="0" containsNumber="1" containsInteger="1" minValue="2" maxValue="5"/>
    </cacheField>
    <cacheField name="Deparment" numFmtId="0">
      <sharedItems count="2">
        <s v="Service"/>
        <s v="Technical"/>
      </sharedItems>
    </cacheField>
    <cacheField name="brech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s v="T1"/>
    <s v="Email"/>
    <n v="12"/>
    <n v="4"/>
    <x v="0"/>
    <n v="0"/>
  </r>
  <r>
    <n v="2"/>
    <x v="0"/>
    <s v="T2"/>
    <s v="Chat"/>
    <n v="28"/>
    <n v="3"/>
    <x v="0"/>
    <n v="1"/>
  </r>
  <r>
    <n v="3"/>
    <x v="0"/>
    <s v="T3"/>
    <s v="Phone"/>
    <n v="36"/>
    <n v="2"/>
    <x v="1"/>
    <n v="1"/>
  </r>
  <r>
    <n v="4"/>
    <x v="0"/>
    <s v="T4"/>
    <s v="Email"/>
    <n v="20"/>
    <n v="4"/>
    <x v="1"/>
    <n v="0"/>
  </r>
  <r>
    <n v="5"/>
    <x v="1"/>
    <s v="T1"/>
    <s v="Chat"/>
    <n v="8"/>
    <n v="5"/>
    <x v="0"/>
    <n v="0"/>
  </r>
  <r>
    <n v="6"/>
    <x v="1"/>
    <s v="T2"/>
    <s v="Phone"/>
    <n v="30"/>
    <n v="3"/>
    <x v="0"/>
    <n v="1"/>
  </r>
  <r>
    <n v="7"/>
    <x v="1"/>
    <s v="T3"/>
    <s v="Email"/>
    <n v="18"/>
    <n v="4"/>
    <x v="1"/>
    <n v="0"/>
  </r>
  <r>
    <n v="8"/>
    <x v="1"/>
    <s v="T4"/>
    <s v="Chat"/>
    <n v="40"/>
    <n v="2"/>
    <x v="1"/>
    <n v="1"/>
  </r>
  <r>
    <n v="9"/>
    <x v="2"/>
    <s v="T1"/>
    <s v="Phone"/>
    <n v="16"/>
    <n v="4"/>
    <x v="0"/>
    <n v="0"/>
  </r>
  <r>
    <n v="10"/>
    <x v="2"/>
    <s v="T2"/>
    <s v="Email"/>
    <n v="22"/>
    <n v="4"/>
    <x v="0"/>
    <n v="0"/>
  </r>
  <r>
    <n v="11"/>
    <x v="2"/>
    <s v="T3"/>
    <s v="Chat"/>
    <n v="32"/>
    <n v="3"/>
    <x v="1"/>
    <n v="1"/>
  </r>
  <r>
    <n v="12"/>
    <x v="2"/>
    <s v="T4"/>
    <s v="Phone"/>
    <n v="24"/>
    <n v="5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73C940-2D76-4C7D-90B8-22DEA9417C1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D1:H5" firstHeaderRow="1" firstDataRow="2" firstDataCol="1"/>
  <pivotFields count="8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erage of resolution_hours" fld="4" subtotal="average" baseField="6" baseItem="0"/>
  </dataFields>
  <formats count="20">
    <format dxfId="25">
      <pivotArea type="all" dataOnly="0" outline="0" fieldPosition="0"/>
    </format>
    <format dxfId="24">
      <pivotArea outline="0" collapsedLevelsAreSubtotals="1" fieldPosition="0"/>
    </format>
    <format dxfId="23">
      <pivotArea type="origin" dataOnly="0" labelOnly="1" outline="0" fieldPosition="0"/>
    </format>
    <format dxfId="22">
      <pivotArea field="1" type="button" dataOnly="0" labelOnly="1" outline="0" axis="axisCol" fieldPosition="0"/>
    </format>
    <format dxfId="21">
      <pivotArea type="topRight" dataOnly="0" labelOnly="1" outline="0" fieldPosition="0"/>
    </format>
    <format dxfId="20">
      <pivotArea field="6" type="button" dataOnly="0" labelOnly="1" outline="0" axis="axisRow" fieldPosition="0"/>
    </format>
    <format dxfId="19">
      <pivotArea dataOnly="0" labelOnly="1" fieldPosition="0">
        <references count="1">
          <reference field="6" count="0"/>
        </references>
      </pivotArea>
    </format>
    <format dxfId="18">
      <pivotArea dataOnly="0" labelOnly="1" grandRow="1" outline="0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grandCol="1" outline="0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type="origin" dataOnly="0" labelOnly="1" outline="0" fieldPosition="0"/>
    </format>
    <format dxfId="12">
      <pivotArea field="1" type="button" dataOnly="0" labelOnly="1" outline="0" axis="axisCol" fieldPosition="0"/>
    </format>
    <format dxfId="11">
      <pivotArea type="topRight" dataOnly="0" labelOnly="1" outline="0" fieldPosition="0"/>
    </format>
    <format dxfId="10">
      <pivotArea field="6" type="button" dataOnly="0" labelOnly="1" outline="0" axis="axisRow" fieldPosition="0"/>
    </format>
    <format dxfId="9">
      <pivotArea dataOnly="0" labelOnly="1" fieldPosition="0">
        <references count="1">
          <reference field="6" count="0"/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grandCol="1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A68DA-CB73-479F-A860-B5CF918E50A2}" name="Table1" displayName="Table1" ref="A1:H13" totalsRowShown="0" headerRowDxfId="38" dataDxfId="36" headerRowBorderDxfId="37" tableBorderDxfId="35" totalsRowBorderDxfId="34">
  <autoFilter ref="A1:H13" xr:uid="{559A68DA-CB73-479F-A860-B5CF918E50A2}"/>
  <tableColumns count="8">
    <tableColumn id="1" xr3:uid="{DE421909-FC66-4133-B9A1-17627B152940}" name="ticket_id" dataDxfId="33"/>
    <tableColumn id="2" xr3:uid="{DFA564D2-0754-4D0A-B7ED-65DCCC713C16}" name="month" dataDxfId="32"/>
    <tableColumn id="3" xr3:uid="{EB5B51DC-56B0-4BAB-A7E4-6C0A9C983473}" name="team_id" dataDxfId="31"/>
    <tableColumn id="4" xr3:uid="{EDFC8FCC-DB76-44EB-8926-F2AB5B84AE09}" name="channel" dataDxfId="30"/>
    <tableColumn id="5" xr3:uid="{88F311CE-4178-4391-BAFA-8F0E023090DC}" name="resolution_hours" dataDxfId="29"/>
    <tableColumn id="6" xr3:uid="{9F5AF2D5-0824-4556-A3F9-93915E34B742}" name="satisfaction" dataDxfId="28"/>
    <tableColumn id="7" xr3:uid="{21F47B28-2259-48EE-A2ED-E50BC8240C58}" name="Deparment" dataDxfId="27">
      <calculatedColumnFormula>_xlfn.XLOOKUP(C2,lookup!$A$2:$A$5,lookup!$C$2:$C$5)</calculatedColumnFormula>
    </tableColumn>
    <tableColumn id="8" xr3:uid="{7303C076-7F67-46CC-AF96-553B6A8D926F}" name="brech_flag" dataDxfId="26">
      <calculatedColumnFormula>IF(E2&gt;24,1,0)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1A980B-6096-4172-9761-0D6592EDB2B6}" name="Table2" displayName="Table2" ref="A1:B4" totalsRowShown="0" headerRowDxfId="5" headerRowBorderDxfId="4" tableBorderDxfId="3" totalsRowBorderDxfId="2">
  <autoFilter ref="A1:B4" xr:uid="{0D1A980B-6096-4172-9761-0D6592EDB2B6}"/>
  <tableColumns count="2">
    <tableColumn id="1" xr3:uid="{F7965812-FCF3-412E-8E26-E60416EF55A0}" name="channel" dataDxfId="1"/>
    <tableColumn id="2" xr3:uid="{E39F88C0-B187-4B3D-ADDA-34911D0E4878}" name="breched_ticket" dataDxfId="0">
      <calculatedColumnFormula>COUNTIFS(clean!$D:$D,A2,clean!$H:$H,1)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ED23-E758-4228-AFAA-2A4D32148016}">
  <dimension ref="A1:F14"/>
  <sheetViews>
    <sheetView workbookViewId="0">
      <selection activeCell="D14" sqref="A1:F14"/>
    </sheetView>
  </sheetViews>
  <sheetFormatPr defaultRowHeight="14.4" x14ac:dyDescent="0.3"/>
  <cols>
    <col min="6" max="6" width="10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</v>
      </c>
      <c r="B2" s="1" t="s">
        <v>6</v>
      </c>
      <c r="C2" s="1" t="s">
        <v>7</v>
      </c>
      <c r="D2" s="1" t="s">
        <v>8</v>
      </c>
      <c r="E2" s="1">
        <v>12</v>
      </c>
      <c r="F2" s="1">
        <v>4</v>
      </c>
    </row>
    <row r="3" spans="1:6" x14ac:dyDescent="0.3">
      <c r="A3" s="1">
        <v>2</v>
      </c>
      <c r="B3" s="1" t="s">
        <v>6</v>
      </c>
      <c r="C3" s="1" t="s">
        <v>9</v>
      </c>
      <c r="D3" s="1" t="s">
        <v>10</v>
      </c>
      <c r="E3" s="1">
        <v>28</v>
      </c>
      <c r="F3" s="1">
        <v>3</v>
      </c>
    </row>
    <row r="4" spans="1:6" x14ac:dyDescent="0.3">
      <c r="A4" s="1">
        <v>3</v>
      </c>
      <c r="B4" s="1" t="s">
        <v>6</v>
      </c>
      <c r="C4" s="1" t="s">
        <v>11</v>
      </c>
      <c r="D4" s="1" t="s">
        <v>12</v>
      </c>
      <c r="E4" s="1">
        <v>36</v>
      </c>
      <c r="F4" s="1">
        <v>2</v>
      </c>
    </row>
    <row r="5" spans="1:6" x14ac:dyDescent="0.3">
      <c r="A5" s="1">
        <v>4</v>
      </c>
      <c r="B5" s="1" t="s">
        <v>6</v>
      </c>
      <c r="C5" s="1" t="s">
        <v>13</v>
      </c>
      <c r="D5" s="1" t="s">
        <v>8</v>
      </c>
      <c r="E5" s="1">
        <v>20</v>
      </c>
      <c r="F5" s="1">
        <v>4</v>
      </c>
    </row>
    <row r="6" spans="1:6" x14ac:dyDescent="0.3">
      <c r="A6" s="1">
        <v>5</v>
      </c>
      <c r="B6" s="1" t="s">
        <v>14</v>
      </c>
      <c r="C6" s="1" t="s">
        <v>7</v>
      </c>
      <c r="D6" s="1" t="s">
        <v>10</v>
      </c>
      <c r="E6" s="1">
        <v>8</v>
      </c>
      <c r="F6" s="1">
        <v>5</v>
      </c>
    </row>
    <row r="7" spans="1:6" x14ac:dyDescent="0.3">
      <c r="A7" s="1">
        <v>6</v>
      </c>
      <c r="B7" s="1" t="s">
        <v>14</v>
      </c>
      <c r="C7" s="1" t="s">
        <v>9</v>
      </c>
      <c r="D7" s="1" t="s">
        <v>12</v>
      </c>
      <c r="E7" s="1">
        <v>30</v>
      </c>
      <c r="F7" s="1">
        <v>3</v>
      </c>
    </row>
    <row r="8" spans="1:6" x14ac:dyDescent="0.3">
      <c r="A8" s="1">
        <v>7</v>
      </c>
      <c r="B8" s="1" t="s">
        <v>14</v>
      </c>
      <c r="C8" s="1" t="s">
        <v>11</v>
      </c>
      <c r="D8" s="1" t="s">
        <v>8</v>
      </c>
      <c r="E8" s="1">
        <v>18</v>
      </c>
      <c r="F8" s="1">
        <v>4</v>
      </c>
    </row>
    <row r="9" spans="1:6" x14ac:dyDescent="0.3">
      <c r="A9" s="1">
        <v>8</v>
      </c>
      <c r="B9" s="1" t="s">
        <v>14</v>
      </c>
      <c r="C9" s="1" t="s">
        <v>13</v>
      </c>
      <c r="D9" s="1" t="s">
        <v>10</v>
      </c>
      <c r="E9" s="1">
        <v>40</v>
      </c>
      <c r="F9" s="1">
        <v>2</v>
      </c>
    </row>
    <row r="10" spans="1:6" x14ac:dyDescent="0.3">
      <c r="A10" s="1">
        <v>9</v>
      </c>
      <c r="B10" s="1" t="s">
        <v>15</v>
      </c>
      <c r="C10" s="1" t="s">
        <v>7</v>
      </c>
      <c r="D10" s="1" t="s">
        <v>12</v>
      </c>
      <c r="E10" s="1">
        <v>16</v>
      </c>
      <c r="F10" s="1">
        <v>4</v>
      </c>
    </row>
    <row r="11" spans="1:6" x14ac:dyDescent="0.3">
      <c r="A11" s="1">
        <v>10</v>
      </c>
      <c r="B11" s="1" t="s">
        <v>15</v>
      </c>
      <c r="C11" s="1" t="s">
        <v>9</v>
      </c>
      <c r="D11" s="1" t="s">
        <v>8</v>
      </c>
      <c r="E11" s="1">
        <v>22</v>
      </c>
      <c r="F11" s="1">
        <v>4</v>
      </c>
    </row>
    <row r="12" spans="1:6" x14ac:dyDescent="0.3">
      <c r="A12" s="1">
        <v>11</v>
      </c>
      <c r="B12" s="1" t="s">
        <v>15</v>
      </c>
      <c r="C12" s="1" t="s">
        <v>11</v>
      </c>
      <c r="D12" s="1" t="s">
        <v>10</v>
      </c>
      <c r="E12" s="1">
        <v>32</v>
      </c>
      <c r="F12" s="1">
        <v>3</v>
      </c>
    </row>
    <row r="13" spans="1:6" x14ac:dyDescent="0.3">
      <c r="A13" s="1">
        <v>12</v>
      </c>
      <c r="B13" s="1" t="s">
        <v>15</v>
      </c>
      <c r="C13" s="1" t="s">
        <v>13</v>
      </c>
      <c r="D13" s="1" t="s">
        <v>12</v>
      </c>
      <c r="E13" s="1">
        <v>24</v>
      </c>
      <c r="F13" s="1">
        <v>5</v>
      </c>
    </row>
    <row r="14" spans="1:6" x14ac:dyDescent="0.3">
      <c r="A14" s="1">
        <v>12</v>
      </c>
      <c r="B14" s="1" t="s">
        <v>15</v>
      </c>
      <c r="C14" s="1" t="s">
        <v>13</v>
      </c>
      <c r="D14" s="1" t="s">
        <v>12</v>
      </c>
      <c r="E14" s="1">
        <v>24</v>
      </c>
      <c r="F14" s="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CB786-F06F-4032-801B-D6A5B86C413C}">
  <dimension ref="A1:C5"/>
  <sheetViews>
    <sheetView workbookViewId="0">
      <selection activeCell="F4" sqref="F4"/>
    </sheetView>
  </sheetViews>
  <sheetFormatPr defaultRowHeight="14.4" x14ac:dyDescent="0.3"/>
  <cols>
    <col min="2" max="2" width="11.5546875" bestFit="1" customWidth="1"/>
    <col min="3" max="3" width="10.33203125" bestFit="1" customWidth="1"/>
  </cols>
  <sheetData>
    <row r="1" spans="1:3" x14ac:dyDescent="0.3">
      <c r="A1" s="1" t="s">
        <v>2</v>
      </c>
      <c r="B1" s="1" t="s">
        <v>16</v>
      </c>
      <c r="C1" s="1" t="s">
        <v>17</v>
      </c>
    </row>
    <row r="2" spans="1:3" x14ac:dyDescent="0.3">
      <c r="A2" s="1" t="s">
        <v>7</v>
      </c>
      <c r="B2" s="1" t="s">
        <v>18</v>
      </c>
      <c r="C2" s="1" t="s">
        <v>19</v>
      </c>
    </row>
    <row r="3" spans="1:3" x14ac:dyDescent="0.3">
      <c r="A3" s="1" t="s">
        <v>9</v>
      </c>
      <c r="B3" s="1" t="s">
        <v>20</v>
      </c>
      <c r="C3" s="1" t="s">
        <v>19</v>
      </c>
    </row>
    <row r="4" spans="1:3" x14ac:dyDescent="0.3">
      <c r="A4" s="1" t="s">
        <v>11</v>
      </c>
      <c r="B4" s="1" t="s">
        <v>21</v>
      </c>
      <c r="C4" s="1" t="s">
        <v>22</v>
      </c>
    </row>
    <row r="5" spans="1:3" x14ac:dyDescent="0.3">
      <c r="A5" s="1" t="s">
        <v>13</v>
      </c>
      <c r="B5" s="1" t="s">
        <v>23</v>
      </c>
      <c r="C5" s="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F2986-F4EE-4E36-BC6F-167307894484}">
  <dimension ref="A1:J17"/>
  <sheetViews>
    <sheetView tabSelected="1" zoomScale="133" workbookViewId="0">
      <selection activeCell="H17" sqref="H17"/>
    </sheetView>
  </sheetViews>
  <sheetFormatPr defaultRowHeight="14.4" x14ac:dyDescent="0.3"/>
  <cols>
    <col min="1" max="1" width="9.33203125" customWidth="1"/>
    <col min="5" max="5" width="16.21875" customWidth="1"/>
    <col min="6" max="6" width="12" customWidth="1"/>
    <col min="7" max="7" width="11.44140625" customWidth="1"/>
    <col min="8" max="8" width="10.88671875" customWidth="1"/>
  </cols>
  <sheetData>
    <row r="1" spans="1:10" x14ac:dyDescent="0.3">
      <c r="A1" s="13" t="s">
        <v>0</v>
      </c>
      <c r="B1" s="14" t="s">
        <v>1</v>
      </c>
      <c r="C1" s="20" t="s">
        <v>2</v>
      </c>
      <c r="D1" s="14" t="s">
        <v>3</v>
      </c>
      <c r="E1" s="17" t="s">
        <v>4</v>
      </c>
      <c r="F1" s="17" t="s">
        <v>5</v>
      </c>
      <c r="G1" s="7" t="s">
        <v>26</v>
      </c>
      <c r="H1" s="24" t="s">
        <v>27</v>
      </c>
    </row>
    <row r="2" spans="1:10" x14ac:dyDescent="0.3">
      <c r="A2" s="6">
        <v>1</v>
      </c>
      <c r="B2" s="15" t="s">
        <v>6</v>
      </c>
      <c r="C2" s="21" t="s">
        <v>7</v>
      </c>
      <c r="D2" s="15" t="s">
        <v>8</v>
      </c>
      <c r="E2" s="18">
        <v>12</v>
      </c>
      <c r="F2" s="18">
        <v>4</v>
      </c>
      <c r="G2" s="1" t="str">
        <f>_xlfn.XLOOKUP(C2,lookup!$A$2:$A$5,lookup!$C$2:$C$5)</f>
        <v>Service</v>
      </c>
      <c r="H2" s="25">
        <f>IF(E2&gt;24,1,0)</f>
        <v>0</v>
      </c>
    </row>
    <row r="3" spans="1:10" x14ac:dyDescent="0.3">
      <c r="A3" s="6">
        <v>2</v>
      </c>
      <c r="B3" s="15" t="s">
        <v>6</v>
      </c>
      <c r="C3" s="21" t="s">
        <v>9</v>
      </c>
      <c r="D3" s="15" t="s">
        <v>10</v>
      </c>
      <c r="E3" s="18">
        <v>28</v>
      </c>
      <c r="F3" s="18">
        <v>3</v>
      </c>
      <c r="G3" s="1" t="str">
        <f>_xlfn.XLOOKUP(C3,lookup!$A$2:$A$5,lookup!$C$2:$C$5)</f>
        <v>Service</v>
      </c>
      <c r="H3" s="25">
        <f t="shared" ref="H3:H13" si="0">IF(E3&gt;24,1,0)</f>
        <v>1</v>
      </c>
      <c r="J3" s="2"/>
    </row>
    <row r="4" spans="1:10" x14ac:dyDescent="0.3">
      <c r="A4" s="6">
        <v>3</v>
      </c>
      <c r="B4" s="15" t="s">
        <v>6</v>
      </c>
      <c r="C4" s="21" t="s">
        <v>11</v>
      </c>
      <c r="D4" s="15" t="s">
        <v>12</v>
      </c>
      <c r="E4" s="18">
        <v>36</v>
      </c>
      <c r="F4" s="18">
        <v>2</v>
      </c>
      <c r="G4" s="1" t="str">
        <f>_xlfn.XLOOKUP(C4,lookup!$A$2:$A$5,lookup!$C$2:$C$5)</f>
        <v>Technical</v>
      </c>
      <c r="H4" s="25">
        <f t="shared" si="0"/>
        <v>1</v>
      </c>
    </row>
    <row r="5" spans="1:10" x14ac:dyDescent="0.3">
      <c r="A5" s="6">
        <v>4</v>
      </c>
      <c r="B5" s="15" t="s">
        <v>6</v>
      </c>
      <c r="C5" s="21" t="s">
        <v>13</v>
      </c>
      <c r="D5" s="15" t="s">
        <v>8</v>
      </c>
      <c r="E5" s="18">
        <v>20</v>
      </c>
      <c r="F5" s="18">
        <v>4</v>
      </c>
      <c r="G5" s="1" t="str">
        <f>_xlfn.XLOOKUP(C5,lookup!$A$2:$A$5,lookup!$C$2:$C$5)</f>
        <v>Technical</v>
      </c>
      <c r="H5" s="25">
        <f t="shared" si="0"/>
        <v>0</v>
      </c>
    </row>
    <row r="6" spans="1:10" x14ac:dyDescent="0.3">
      <c r="A6" s="6">
        <v>5</v>
      </c>
      <c r="B6" s="15" t="s">
        <v>14</v>
      </c>
      <c r="C6" s="21" t="s">
        <v>7</v>
      </c>
      <c r="D6" s="15" t="s">
        <v>10</v>
      </c>
      <c r="E6" s="18">
        <v>8</v>
      </c>
      <c r="F6" s="18">
        <v>5</v>
      </c>
      <c r="G6" s="1" t="str">
        <f>_xlfn.XLOOKUP(C6,lookup!$A$2:$A$5,lookup!$C$2:$C$5)</f>
        <v>Service</v>
      </c>
      <c r="H6" s="25">
        <f t="shared" si="0"/>
        <v>0</v>
      </c>
    </row>
    <row r="7" spans="1:10" x14ac:dyDescent="0.3">
      <c r="A7" s="6">
        <v>6</v>
      </c>
      <c r="B7" s="15" t="s">
        <v>14</v>
      </c>
      <c r="C7" s="21" t="s">
        <v>9</v>
      </c>
      <c r="D7" s="15" t="s">
        <v>12</v>
      </c>
      <c r="E7" s="18">
        <v>30</v>
      </c>
      <c r="F7" s="18">
        <v>3</v>
      </c>
      <c r="G7" s="1" t="str">
        <f>_xlfn.XLOOKUP(C7,lookup!$A$2:$A$5,lookup!$C$2:$C$5)</f>
        <v>Service</v>
      </c>
      <c r="H7" s="25">
        <f t="shared" si="0"/>
        <v>1</v>
      </c>
    </row>
    <row r="8" spans="1:10" x14ac:dyDescent="0.3">
      <c r="A8" s="6">
        <v>7</v>
      </c>
      <c r="B8" s="15" t="s">
        <v>14</v>
      </c>
      <c r="C8" s="21" t="s">
        <v>11</v>
      </c>
      <c r="D8" s="15" t="s">
        <v>8</v>
      </c>
      <c r="E8" s="18">
        <v>18</v>
      </c>
      <c r="F8" s="18">
        <v>4</v>
      </c>
      <c r="G8" s="1" t="str">
        <f>_xlfn.XLOOKUP(C8,lookup!$A$2:$A$5,lookup!$C$2:$C$5)</f>
        <v>Technical</v>
      </c>
      <c r="H8" s="25">
        <f t="shared" si="0"/>
        <v>0</v>
      </c>
    </row>
    <row r="9" spans="1:10" x14ac:dyDescent="0.3">
      <c r="A9" s="6">
        <v>8</v>
      </c>
      <c r="B9" s="15" t="s">
        <v>14</v>
      </c>
      <c r="C9" s="21" t="s">
        <v>13</v>
      </c>
      <c r="D9" s="15" t="s">
        <v>10</v>
      </c>
      <c r="E9" s="18">
        <v>40</v>
      </c>
      <c r="F9" s="18">
        <v>2</v>
      </c>
      <c r="G9" s="1" t="str">
        <f>_xlfn.XLOOKUP(C9,lookup!$A$2:$A$5,lookup!$C$2:$C$5)</f>
        <v>Technical</v>
      </c>
      <c r="H9" s="25">
        <f t="shared" si="0"/>
        <v>1</v>
      </c>
    </row>
    <row r="10" spans="1:10" x14ac:dyDescent="0.3">
      <c r="A10" s="6">
        <v>9</v>
      </c>
      <c r="B10" s="15" t="s">
        <v>15</v>
      </c>
      <c r="C10" s="21" t="s">
        <v>7</v>
      </c>
      <c r="D10" s="15" t="s">
        <v>12</v>
      </c>
      <c r="E10" s="18">
        <v>16</v>
      </c>
      <c r="F10" s="18">
        <v>4</v>
      </c>
      <c r="G10" s="1" t="str">
        <f>_xlfn.XLOOKUP(C10,lookup!$A$2:$A$5,lookup!$C$2:$C$5)</f>
        <v>Service</v>
      </c>
      <c r="H10" s="25">
        <f t="shared" si="0"/>
        <v>0</v>
      </c>
    </row>
    <row r="11" spans="1:10" x14ac:dyDescent="0.3">
      <c r="A11" s="6">
        <v>10</v>
      </c>
      <c r="B11" s="15" t="s">
        <v>15</v>
      </c>
      <c r="C11" s="21" t="s">
        <v>9</v>
      </c>
      <c r="D11" s="15" t="s">
        <v>8</v>
      </c>
      <c r="E11" s="18">
        <v>22</v>
      </c>
      <c r="F11" s="18">
        <v>4</v>
      </c>
      <c r="G11" s="1" t="str">
        <f>_xlfn.XLOOKUP(C11,lookup!$A$2:$A$5,lookup!$C$2:$C$5)</f>
        <v>Service</v>
      </c>
      <c r="H11" s="25">
        <f t="shared" si="0"/>
        <v>0</v>
      </c>
    </row>
    <row r="12" spans="1:10" x14ac:dyDescent="0.3">
      <c r="A12" s="6">
        <v>11</v>
      </c>
      <c r="B12" s="15" t="s">
        <v>15</v>
      </c>
      <c r="C12" s="21" t="s">
        <v>11</v>
      </c>
      <c r="D12" s="15" t="s">
        <v>10</v>
      </c>
      <c r="E12" s="18">
        <v>32</v>
      </c>
      <c r="F12" s="18">
        <v>3</v>
      </c>
      <c r="G12" s="1" t="str">
        <f>_xlfn.XLOOKUP(C12,lookup!$A$2:$A$5,lookup!$C$2:$C$5)</f>
        <v>Technical</v>
      </c>
      <c r="H12" s="25">
        <f t="shared" si="0"/>
        <v>1</v>
      </c>
    </row>
    <row r="13" spans="1:10" x14ac:dyDescent="0.3">
      <c r="A13" s="8">
        <v>12</v>
      </c>
      <c r="B13" s="16" t="s">
        <v>15</v>
      </c>
      <c r="C13" s="22" t="s">
        <v>13</v>
      </c>
      <c r="D13" s="16" t="s">
        <v>12</v>
      </c>
      <c r="E13" s="19">
        <v>24</v>
      </c>
      <c r="F13" s="19">
        <v>5</v>
      </c>
      <c r="G13" s="9" t="str">
        <f>_xlfn.XLOOKUP(C13,lookup!$A$2:$A$5,lookup!$C$2:$C$5)</f>
        <v>Technical</v>
      </c>
      <c r="H13" s="26">
        <f t="shared" si="0"/>
        <v>0</v>
      </c>
    </row>
    <row r="14" spans="1:10" x14ac:dyDescent="0.3">
      <c r="E14" s="23"/>
    </row>
    <row r="15" spans="1:10" x14ac:dyDescent="0.3">
      <c r="D15" s="31" t="s">
        <v>36</v>
      </c>
      <c r="E15" s="31"/>
    </row>
    <row r="16" spans="1:10" x14ac:dyDescent="0.3">
      <c r="D16" s="10" t="s">
        <v>24</v>
      </c>
      <c r="E16" s="11" t="s">
        <v>25</v>
      </c>
    </row>
    <row r="17" spans="4:5" x14ac:dyDescent="0.3">
      <c r="D17" s="12">
        <f>ROWS(clean!A2:A14)</f>
        <v>13</v>
      </c>
      <c r="E17" s="12">
        <f>ROWS(A2:A13)</f>
        <v>12</v>
      </c>
    </row>
  </sheetData>
  <mergeCells count="1">
    <mergeCell ref="D15:E15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7DA70-0836-4520-B202-DB059610C2FF}">
  <dimension ref="A1:H5"/>
  <sheetViews>
    <sheetView zoomScale="83" workbookViewId="0">
      <selection activeCell="C6" sqref="C6"/>
    </sheetView>
  </sheetViews>
  <sheetFormatPr defaultRowHeight="14.4" x14ac:dyDescent="0.3"/>
  <cols>
    <col min="2" max="2" width="13.77734375" customWidth="1"/>
    <col min="4" max="4" width="24.33203125" bestFit="1" customWidth="1"/>
    <col min="5" max="5" width="15.5546875" bestFit="1" customWidth="1"/>
    <col min="6" max="6" width="4.109375" bestFit="1" customWidth="1"/>
    <col min="7" max="7" width="5" bestFit="1" customWidth="1"/>
    <col min="8" max="8" width="12" bestFit="1" customWidth="1"/>
  </cols>
  <sheetData>
    <row r="1" spans="1:8" x14ac:dyDescent="0.3">
      <c r="A1" s="28" t="s">
        <v>3</v>
      </c>
      <c r="B1" s="29" t="s">
        <v>30</v>
      </c>
      <c r="D1" s="3" t="s">
        <v>34</v>
      </c>
      <c r="E1" s="3" t="s">
        <v>33</v>
      </c>
      <c r="F1" s="4"/>
      <c r="G1" s="4"/>
      <c r="H1" s="4"/>
    </row>
    <row r="2" spans="1:8" x14ac:dyDescent="0.3">
      <c r="A2" s="6" t="s">
        <v>28</v>
      </c>
      <c r="B2" s="27">
        <f>COUNTIFS(clean!$D:$D,A2,clean!$H:$H,1)</f>
        <v>0</v>
      </c>
      <c r="D2" s="3" t="s">
        <v>31</v>
      </c>
      <c r="E2" s="4" t="s">
        <v>6</v>
      </c>
      <c r="F2" s="4" t="s">
        <v>14</v>
      </c>
      <c r="G2" s="4" t="s">
        <v>15</v>
      </c>
      <c r="H2" s="4" t="s">
        <v>32</v>
      </c>
    </row>
    <row r="3" spans="1:8" x14ac:dyDescent="0.3">
      <c r="A3" s="6" t="s">
        <v>29</v>
      </c>
      <c r="B3" s="27">
        <f>COUNTIFS(clean!$D:$D,A3,clean!$H:$H,1)</f>
        <v>3</v>
      </c>
      <c r="D3" s="4" t="s">
        <v>19</v>
      </c>
      <c r="E3" s="5">
        <v>20</v>
      </c>
      <c r="F3" s="5">
        <v>19</v>
      </c>
      <c r="G3" s="5">
        <v>19</v>
      </c>
      <c r="H3" s="5">
        <v>19.333333333333332</v>
      </c>
    </row>
    <row r="4" spans="1:8" x14ac:dyDescent="0.3">
      <c r="A4" s="8" t="s">
        <v>35</v>
      </c>
      <c r="B4" s="30">
        <f>COUNTIFS(clean!$D:$D,A4,clean!$H:$H,1)</f>
        <v>2</v>
      </c>
      <c r="D4" s="4" t="s">
        <v>22</v>
      </c>
      <c r="E4" s="5">
        <v>28</v>
      </c>
      <c r="F4" s="5">
        <v>29</v>
      </c>
      <c r="G4" s="5">
        <v>28</v>
      </c>
      <c r="H4" s="5">
        <v>28.333333333333332</v>
      </c>
    </row>
    <row r="5" spans="1:8" x14ac:dyDescent="0.3">
      <c r="D5" s="4" t="s">
        <v>32</v>
      </c>
      <c r="E5" s="5">
        <v>24</v>
      </c>
      <c r="F5" s="5">
        <v>24</v>
      </c>
      <c r="G5" s="5">
        <v>23.5</v>
      </c>
      <c r="H5" s="5">
        <v>23.833333333333332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lookup</vt:lpstr>
      <vt:lpstr>clean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Marathe</dc:creator>
  <cp:lastModifiedBy>Roshan Marathe</cp:lastModifiedBy>
  <dcterms:created xsi:type="dcterms:W3CDTF">2026-09-25T03:08:09Z</dcterms:created>
  <dcterms:modified xsi:type="dcterms:W3CDTF">2026-10-03T05:56:09Z</dcterms:modified>
</cp:coreProperties>
</file>